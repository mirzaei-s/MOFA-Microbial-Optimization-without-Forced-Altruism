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ya\Desktop\"/>
    </mc:Choice>
  </mc:AlternateContent>
  <xr:revisionPtr revIDLastSave="0" documentId="8_{DE25B796-DAA8-48F1-9674-0BE1692A6C3F}" xr6:coauthVersionLast="47" xr6:coauthVersionMax="47" xr10:uidLastSave="{00000000-0000-0000-0000-000000000000}"/>
  <bookViews>
    <workbookView xWindow="-108" yWindow="-108" windowWidth="23256" windowHeight="12456" xr2:uid="{6AFA65E9-574E-4FE5-9335-C9F610769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O19" i="1"/>
  <c r="O20" i="1"/>
  <c r="O21" i="1"/>
  <c r="O17" i="1"/>
  <c r="N18" i="1"/>
  <c r="N19" i="1"/>
  <c r="N20" i="1"/>
  <c r="N21" i="1"/>
  <c r="N17" i="1"/>
  <c r="K21" i="1"/>
  <c r="J21" i="1"/>
  <c r="K18" i="1"/>
  <c r="M18" i="1" s="1"/>
  <c r="J18" i="1"/>
  <c r="L18" i="1" s="1"/>
  <c r="K17" i="1"/>
  <c r="M17" i="1" s="1"/>
  <c r="J17" i="1"/>
  <c r="L17" i="1" s="1"/>
  <c r="I6" i="1"/>
  <c r="H6" i="1"/>
  <c r="I5" i="1"/>
  <c r="H5" i="1"/>
  <c r="I4" i="1" l="1"/>
  <c r="H4" i="1"/>
  <c r="H3" i="1"/>
  <c r="I3" i="1"/>
  <c r="H2" i="1"/>
  <c r="I2" i="1"/>
</calcChain>
</file>

<file path=xl/sharedStrings.xml><?xml version="1.0" encoding="utf-8"?>
<sst xmlns="http://schemas.openxmlformats.org/spreadsheetml/2006/main" count="61" uniqueCount="37">
  <si>
    <t>SP1</t>
  </si>
  <si>
    <t>SP2</t>
  </si>
  <si>
    <t>Bacteroides_caccae_ATCC_43185</t>
  </si>
  <si>
    <t>Bifidobacterium_longum_infantis_ATCC_15697</t>
  </si>
  <si>
    <t>human2</t>
  </si>
  <si>
    <t>Faecalibacterium_prausnitzii_A2_165</t>
  </si>
  <si>
    <t>Roseburia_inulinivorans_DSM_16841</t>
  </si>
  <si>
    <t>human7</t>
  </si>
  <si>
    <t>Blautia_hydrogenotrophica_DSM_10507</t>
  </si>
  <si>
    <t>Roseburia_intestinalis_L1_82</t>
  </si>
  <si>
    <t>human5</t>
  </si>
  <si>
    <t>human6</t>
  </si>
  <si>
    <t>Bacteroides_thetaiotaomicron_VPI_5482</t>
  </si>
  <si>
    <t>Bifidobacterium_adolescentis_ATCC_15703</t>
  </si>
  <si>
    <t>human3</t>
  </si>
  <si>
    <t>single growth SP1</t>
  </si>
  <si>
    <t>paired GR SP1</t>
  </si>
  <si>
    <t>paired GR SP2</t>
  </si>
  <si>
    <t>ratio1</t>
  </si>
  <si>
    <t>ratio2</t>
  </si>
  <si>
    <t>Expected ratio1</t>
  </si>
  <si>
    <t>Expected ratio2</t>
  </si>
  <si>
    <t>MICOM ratio1</t>
  </si>
  <si>
    <t>MICOM ratio2</t>
  </si>
  <si>
    <t>MMT ratio1</t>
  </si>
  <si>
    <t>MMT ratio2</t>
  </si>
  <si>
    <t>max1</t>
  </si>
  <si>
    <t>max2</t>
  </si>
  <si>
    <t>maxco1</t>
  </si>
  <si>
    <t>maxco2</t>
  </si>
  <si>
    <t>stdR1</t>
  </si>
  <si>
    <t>stdR2</t>
  </si>
  <si>
    <t>+</t>
  </si>
  <si>
    <t>-</t>
  </si>
  <si>
    <t>co1/max1</t>
  </si>
  <si>
    <t>co2/max2</t>
  </si>
  <si>
    <t>Experimental Data obtained from  experimental_ratio.xlsx (https://github.com/Clem-Jos/pairwise_tool_comp/tree/main/Results)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</si>
</sst>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F86C-432D-4782-B63C-1E8C1CFB9DD5}">
  <dimension ref="A1:Q21"/>
  <sheetViews>
    <sheetView tabSelected="1" workbookViewId="0">
      <selection activeCell="J26" sqref="J26"/>
    </sheetView>
  </sheetViews>
  <sheetFormatPr defaultRowHeight="14.4" x14ac:dyDescent="0.3"/>
  <cols>
    <col min="1" max="1" width="28.77734375" customWidth="1"/>
    <col min="2" max="2" width="21.33203125" customWidth="1"/>
    <col min="3" max="3" width="7.33203125" customWidth="1"/>
    <col min="4" max="4" width="14.33203125" customWidth="1"/>
    <col min="5" max="5" width="14.77734375" customWidth="1"/>
    <col min="6" max="6" width="12.44140625" customWidth="1"/>
    <col min="7" max="7" width="12.77734375" customWidth="1"/>
    <col min="10" max="11" width="11.5546875" customWidth="1"/>
    <col min="12" max="13" width="11.6640625" customWidth="1"/>
    <col min="14" max="14" width="14.5546875" customWidth="1"/>
    <col min="15" max="15" width="14" customWidth="1"/>
  </cols>
  <sheetData>
    <row r="1" spans="1:17" x14ac:dyDescent="0.3">
      <c r="A1" s="1" t="s">
        <v>0</v>
      </c>
      <c r="B1" s="1" t="s">
        <v>1</v>
      </c>
      <c r="C1" s="1"/>
      <c r="D1" s="1" t="s">
        <v>15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20</v>
      </c>
      <c r="O1" s="1" t="s">
        <v>21</v>
      </c>
    </row>
    <row r="2" spans="1:17" x14ac:dyDescent="0.3">
      <c r="A2" t="s">
        <v>2</v>
      </c>
      <c r="B2" t="s">
        <v>3</v>
      </c>
      <c r="C2" t="s">
        <v>4</v>
      </c>
      <c r="D2" s="3">
        <v>1.7923</v>
      </c>
      <c r="E2" s="3">
        <v>25.610199999999999</v>
      </c>
      <c r="F2" s="3">
        <v>1.7921</v>
      </c>
      <c r="G2" s="3">
        <v>23.818100000000001</v>
      </c>
      <c r="H2" s="4">
        <f t="shared" ref="H2:I4" si="0">F2/D2</f>
        <v>0.99988841153824692</v>
      </c>
      <c r="I2" s="4">
        <f t="shared" si="0"/>
        <v>0.93002397482253174</v>
      </c>
      <c r="J2" s="3">
        <v>2.9174296798436501</v>
      </c>
      <c r="K2" s="3">
        <v>0</v>
      </c>
      <c r="L2" s="3">
        <v>1.8487125811708001</v>
      </c>
      <c r="M2" s="3">
        <v>8.93222044442991E-2</v>
      </c>
      <c r="N2" s="3">
        <v>1.1604184120000001</v>
      </c>
      <c r="O2" s="3">
        <v>9.3132257460000005</v>
      </c>
      <c r="P2">
        <v>1.01498929336188</v>
      </c>
      <c r="Q2">
        <v>1.25</v>
      </c>
    </row>
    <row r="3" spans="1:17" x14ac:dyDescent="0.3">
      <c r="A3" t="s">
        <v>5</v>
      </c>
      <c r="B3" t="s">
        <v>6</v>
      </c>
      <c r="C3" t="s">
        <v>7</v>
      </c>
      <c r="D3" s="3">
        <v>2.9195000000000002</v>
      </c>
      <c r="E3" s="3">
        <v>2.8845000000000001</v>
      </c>
      <c r="F3" s="3">
        <v>1.2646200000000001</v>
      </c>
      <c r="G3" s="3">
        <v>1.6350306999999999</v>
      </c>
      <c r="H3" s="4">
        <f t="shared" si="0"/>
        <v>0.43316321287891763</v>
      </c>
      <c r="I3" s="4">
        <f t="shared" si="0"/>
        <v>0.56683331599930664</v>
      </c>
      <c r="J3" s="3">
        <v>1.5272275677728899</v>
      </c>
      <c r="K3" s="3">
        <v>0.63534528999999995</v>
      </c>
      <c r="L3" s="3">
        <v>0.93248462289587397</v>
      </c>
      <c r="M3" s="3">
        <v>0.31767264539224799</v>
      </c>
      <c r="N3" s="3">
        <v>0.93737033299999994</v>
      </c>
      <c r="O3" s="3">
        <v>0.68018708100000003</v>
      </c>
      <c r="P3">
        <v>0.99355318621373645</v>
      </c>
      <c r="Q3">
        <v>0.9621944286526436</v>
      </c>
    </row>
    <row r="4" spans="1:17" x14ac:dyDescent="0.3">
      <c r="A4" t="s">
        <v>8</v>
      </c>
      <c r="B4" t="s">
        <v>9</v>
      </c>
      <c r="C4" t="s">
        <v>10</v>
      </c>
      <c r="D4" s="3">
        <v>2.2637999999999998</v>
      </c>
      <c r="E4" s="3">
        <v>25.610199999999999</v>
      </c>
      <c r="F4" s="3">
        <v>2.2627000000000002</v>
      </c>
      <c r="G4" s="3">
        <v>23.3475</v>
      </c>
      <c r="H4" s="4">
        <f t="shared" si="0"/>
        <v>0.99951409135082625</v>
      </c>
      <c r="I4" s="4">
        <f t="shared" si="0"/>
        <v>0.91164848380723307</v>
      </c>
      <c r="J4" s="3">
        <v>1.3107305570000001</v>
      </c>
      <c r="K4" s="3">
        <v>0.79978102200000001</v>
      </c>
      <c r="L4" s="3">
        <v>0.72375428361945404</v>
      </c>
      <c r="M4" s="3">
        <v>0.32194684357645298</v>
      </c>
      <c r="N4" s="3">
        <v>6.0043737400000001</v>
      </c>
      <c r="O4" s="3">
        <v>0.88269138700000005</v>
      </c>
      <c r="P4">
        <v>5.6183057338858839</v>
      </c>
      <c r="Q4">
        <v>0.78965619827412936</v>
      </c>
    </row>
    <row r="5" spans="1:17" x14ac:dyDescent="0.3">
      <c r="A5" t="s">
        <v>5</v>
      </c>
      <c r="B5" t="s">
        <v>9</v>
      </c>
      <c r="C5" s="2" t="s">
        <v>11</v>
      </c>
      <c r="D5" s="3">
        <v>3.4134000000000002</v>
      </c>
      <c r="E5" s="3">
        <v>25.610199999999999</v>
      </c>
      <c r="F5" s="3">
        <v>3.4116</v>
      </c>
      <c r="G5" s="3">
        <v>22.146899999999999</v>
      </c>
      <c r="H5" s="4">
        <f>F5/D5</f>
        <v>0.99947266654948141</v>
      </c>
      <c r="I5" s="4">
        <f>G5/E5</f>
        <v>0.86476872496114832</v>
      </c>
      <c r="J5" s="3">
        <v>1.343550652</v>
      </c>
      <c r="K5" s="3">
        <v>1.124301861</v>
      </c>
      <c r="L5" s="3">
        <v>1</v>
      </c>
      <c r="M5" s="3">
        <v>0.27648712588600799</v>
      </c>
      <c r="N5" s="3">
        <v>0.58629540472756903</v>
      </c>
      <c r="O5" s="3">
        <v>1.98292290239515</v>
      </c>
      <c r="P5">
        <v>0.5608513044268989</v>
      </c>
      <c r="Q5">
        <v>1.7739239152988509</v>
      </c>
    </row>
    <row r="6" spans="1:17" x14ac:dyDescent="0.3">
      <c r="A6" t="s">
        <v>12</v>
      </c>
      <c r="B6" t="s">
        <v>13</v>
      </c>
      <c r="C6" t="s">
        <v>14</v>
      </c>
      <c r="D6" s="3">
        <v>3.6840000000000002</v>
      </c>
      <c r="E6" s="3">
        <v>2.3599999999999999E-2</v>
      </c>
      <c r="F6" s="3">
        <v>3.5840000000000001</v>
      </c>
      <c r="G6" s="3">
        <v>2.358E-2</v>
      </c>
      <c r="H6" s="4">
        <f>F6/D6</f>
        <v>0.97285559174809988</v>
      </c>
      <c r="I6" s="4">
        <f>G6/E6</f>
        <v>0.99915254237288142</v>
      </c>
      <c r="J6" s="3">
        <v>4.1511149759999997</v>
      </c>
      <c r="K6">
        <v>3.232031831</v>
      </c>
      <c r="L6" s="3">
        <v>1.8700476675362301</v>
      </c>
      <c r="M6" s="3">
        <v>2.4922484606967998</v>
      </c>
      <c r="N6" s="3">
        <v>0.38682624500000001</v>
      </c>
      <c r="O6" s="3">
        <v>1.15324742</v>
      </c>
      <c r="P6">
        <v>0.90939297124600638</v>
      </c>
      <c r="Q6">
        <v>1.0143603133159269</v>
      </c>
    </row>
    <row r="14" spans="1:17" x14ac:dyDescent="0.3">
      <c r="A14" s="7" t="s">
        <v>36</v>
      </c>
      <c r="B14" s="6"/>
      <c r="C14" s="6"/>
      <c r="D14" s="6"/>
      <c r="E14" s="6"/>
      <c r="F14" s="6"/>
      <c r="G14" s="6"/>
      <c r="H14" s="6"/>
    </row>
    <row r="15" spans="1:17" x14ac:dyDescent="0.3">
      <c r="A15" s="8"/>
      <c r="B15" s="5"/>
      <c r="C15" s="5"/>
      <c r="D15" s="5"/>
      <c r="E15" s="5"/>
      <c r="F15" s="5"/>
      <c r="G15" s="5"/>
      <c r="H15" s="5"/>
    </row>
    <row r="16" spans="1:17" x14ac:dyDescent="0.3">
      <c r="A16" s="1" t="s">
        <v>0</v>
      </c>
      <c r="B16" s="1" t="s">
        <v>1</v>
      </c>
      <c r="C16" s="1"/>
      <c r="D16" s="1"/>
      <c r="E16" s="1"/>
      <c r="F16" s="1" t="s">
        <v>26</v>
      </c>
      <c r="G16" s="1" t="s">
        <v>27</v>
      </c>
      <c r="H16" s="1" t="s">
        <v>28</v>
      </c>
      <c r="I16" s="1" t="s">
        <v>29</v>
      </c>
      <c r="J16" s="1" t="s">
        <v>18</v>
      </c>
      <c r="K16" s="1" t="s">
        <v>19</v>
      </c>
      <c r="L16" s="1" t="s">
        <v>30</v>
      </c>
      <c r="M16" s="1" t="s">
        <v>31</v>
      </c>
      <c r="N16" s="9" t="s">
        <v>34</v>
      </c>
      <c r="O16" s="9" t="s">
        <v>35</v>
      </c>
    </row>
    <row r="17" spans="1:15" x14ac:dyDescent="0.3">
      <c r="A17" t="s">
        <v>2</v>
      </c>
      <c r="B17" t="s">
        <v>3</v>
      </c>
      <c r="C17" t="s">
        <v>4</v>
      </c>
      <c r="D17" s="5">
        <v>0</v>
      </c>
      <c r="E17" s="5" t="s">
        <v>32</v>
      </c>
      <c r="F17">
        <v>7.0049999999999999</v>
      </c>
      <c r="G17">
        <v>4.4400000000000004</v>
      </c>
      <c r="H17">
        <v>7.11</v>
      </c>
      <c r="I17">
        <v>5.55</v>
      </c>
      <c r="J17">
        <f>POWER(H17,10)/POWER(F17,10)</f>
        <v>1.1604184122090204</v>
      </c>
      <c r="K17">
        <f>POWER(I17,10)/POWER(G17,10)</f>
        <v>9.3132257461547763</v>
      </c>
      <c r="L17">
        <f>0.15*J17</f>
        <v>0.17406276183135305</v>
      </c>
      <c r="M17">
        <f>0.15*K17</f>
        <v>1.3969838619232164</v>
      </c>
      <c r="N17" s="10">
        <f>H17/F17</f>
        <v>1.0149892933618845</v>
      </c>
      <c r="O17" s="10">
        <f>I17/G17</f>
        <v>1.2499999999999998</v>
      </c>
    </row>
    <row r="18" spans="1:15" x14ac:dyDescent="0.3">
      <c r="A18" t="s">
        <v>5</v>
      </c>
      <c r="B18" t="s">
        <v>6</v>
      </c>
      <c r="C18" t="s">
        <v>7</v>
      </c>
      <c r="D18" s="5">
        <v>0</v>
      </c>
      <c r="E18" s="5">
        <v>0</v>
      </c>
      <c r="F18">
        <v>8.0660000000000007</v>
      </c>
      <c r="G18">
        <v>7.0359999999999996</v>
      </c>
      <c r="H18">
        <v>8.0139999999999993</v>
      </c>
      <c r="I18">
        <v>6.77</v>
      </c>
      <c r="J18">
        <f>POWER(H18,10)/POWER(F18,10)</f>
        <v>0.93737033281056958</v>
      </c>
      <c r="K18">
        <f>POWER(I18,10)/POWER(G18,10)</f>
        <v>0.68018708101454295</v>
      </c>
      <c r="L18">
        <f>0.15*J18</f>
        <v>0.14060554992158544</v>
      </c>
      <c r="M18">
        <f>0.15*K18</f>
        <v>0.10202806215218144</v>
      </c>
      <c r="N18" s="10">
        <f t="shared" ref="N18:N21" si="1">H18/F18</f>
        <v>0.99355318621373645</v>
      </c>
      <c r="O18" s="10">
        <f t="shared" ref="O18:O21" si="2">I18/G18</f>
        <v>0.9621944286526436</v>
      </c>
    </row>
    <row r="19" spans="1:15" x14ac:dyDescent="0.3">
      <c r="A19" t="s">
        <v>8</v>
      </c>
      <c r="B19" t="s">
        <v>9</v>
      </c>
      <c r="C19" t="s">
        <v>10</v>
      </c>
      <c r="D19" s="5" t="s">
        <v>32</v>
      </c>
      <c r="E19" s="5">
        <v>0</v>
      </c>
      <c r="F19">
        <v>1629101511.9657595</v>
      </c>
      <c r="G19">
        <v>6053602220.5373297</v>
      </c>
      <c r="H19">
        <v>9152790365.7593899</v>
      </c>
      <c r="I19">
        <v>4780264515.3333302</v>
      </c>
      <c r="J19">
        <v>6.0043737404504398</v>
      </c>
      <c r="K19">
        <v>0.88269138663270197</v>
      </c>
      <c r="L19">
        <v>1.8450812452711012</v>
      </c>
      <c r="M19">
        <v>0.32582816447006868</v>
      </c>
      <c r="N19" s="10">
        <f t="shared" si="1"/>
        <v>5.6183057338858839</v>
      </c>
      <c r="O19" s="10">
        <f t="shared" si="2"/>
        <v>0.78965619827412847</v>
      </c>
    </row>
    <row r="20" spans="1:15" x14ac:dyDescent="0.3">
      <c r="A20" t="s">
        <v>5</v>
      </c>
      <c r="B20" t="s">
        <v>9</v>
      </c>
      <c r="C20" s="2" t="s">
        <v>11</v>
      </c>
      <c r="D20" s="5" t="s">
        <v>33</v>
      </c>
      <c r="E20" s="5">
        <v>0</v>
      </c>
      <c r="F20">
        <v>1227813580.0084622</v>
      </c>
      <c r="G20">
        <v>6053602220.5373268</v>
      </c>
      <c r="H20">
        <v>688620847.94080663</v>
      </c>
      <c r="I20">
        <v>10738629752.717392</v>
      </c>
      <c r="J20">
        <v>0.58629540472756903</v>
      </c>
      <c r="K20">
        <v>1.982922902395148</v>
      </c>
      <c r="L20">
        <v>0.13347490365291936</v>
      </c>
      <c r="M20">
        <v>0.68226564277723245</v>
      </c>
      <c r="N20" s="10">
        <f t="shared" si="1"/>
        <v>0.5608513044268989</v>
      </c>
      <c r="O20" s="10">
        <f t="shared" si="2"/>
        <v>1.7739239152988509</v>
      </c>
    </row>
    <row r="21" spans="1:15" x14ac:dyDescent="0.3">
      <c r="A21" t="s">
        <v>12</v>
      </c>
      <c r="B21" t="s">
        <v>13</v>
      </c>
      <c r="C21" t="s">
        <v>14</v>
      </c>
      <c r="D21" s="5" t="s">
        <v>33</v>
      </c>
      <c r="E21" s="5">
        <v>0</v>
      </c>
      <c r="F21">
        <v>7.8250000000000002</v>
      </c>
      <c r="G21">
        <v>7.66</v>
      </c>
      <c r="H21">
        <v>7.1159999999999997</v>
      </c>
      <c r="I21">
        <v>7.77</v>
      </c>
      <c r="J21">
        <f>POWER(H21,10)/POWER(F21,10)</f>
        <v>0.38682624495189233</v>
      </c>
      <c r="K21">
        <f>POWER(I21,10)/POWER(G21,10)</f>
        <v>1.1532474199690168</v>
      </c>
      <c r="N21" s="10">
        <f t="shared" si="1"/>
        <v>0.90939297124600638</v>
      </c>
      <c r="O21" s="10">
        <f t="shared" si="2"/>
        <v>1.0143603133159269</v>
      </c>
    </row>
  </sheetData>
  <mergeCells count="1">
    <mergeCell ref="A14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mirzaei</dc:creator>
  <cp:lastModifiedBy>Soraya mirzaei</cp:lastModifiedBy>
  <dcterms:created xsi:type="dcterms:W3CDTF">2025-05-15T06:13:41Z</dcterms:created>
  <dcterms:modified xsi:type="dcterms:W3CDTF">2026-02-20T15:36:21Z</dcterms:modified>
</cp:coreProperties>
</file>